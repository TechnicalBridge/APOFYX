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atriz de riesgo" sheetId="1" r:id="rId4"/>
    <sheet state="visible" name="Requerimientos" sheetId="2" r:id="rId5"/>
  </sheets>
  <definedNames/>
  <calcPr/>
  <extLst>
    <ext uri="GoogleSheetsCustomDataVersion2">
      <go:sheetsCustomData xmlns:go="http://customooxmlschemas.google.com/" r:id="rId6" roundtripDataChecksum="oK9vplgeopHcZrv3locT1n84cjTWoqHZVDINgOprbHA="/>
    </ext>
  </extLst>
</workbook>
</file>

<file path=xl/sharedStrings.xml><?xml version="1.0" encoding="utf-8"?>
<sst xmlns="http://schemas.openxmlformats.org/spreadsheetml/2006/main" count="115" uniqueCount="112">
  <si>
    <t>Id</t>
  </si>
  <si>
    <t>Nro. De Ref.</t>
  </si>
  <si>
    <t>Riesgo</t>
  </si>
  <si>
    <t>Descripcion</t>
  </si>
  <si>
    <t>Descripción del problema</t>
  </si>
  <si>
    <t>Pregunta de Impacto (¿QUÉ PASA SI...?)</t>
  </si>
  <si>
    <t>Probabilidad</t>
  </si>
  <si>
    <t>Impacto</t>
  </si>
  <si>
    <t>Causas Raíz</t>
  </si>
  <si>
    <t>Tipo</t>
  </si>
  <si>
    <t>Importancia</t>
  </si>
  <si>
    <t>Gravedad</t>
  </si>
  <si>
    <t>Categoría de Riesgo 
(A quien le afecta)</t>
  </si>
  <si>
    <t>Responsable</t>
  </si>
  <si>
    <t>NPR
(Número Prioritario de Riesgo)</t>
  </si>
  <si>
    <t>Tipo de riesgo</t>
  </si>
  <si>
    <t>Etapa del riesgo</t>
  </si>
  <si>
    <t>nivel de criticidad
(probabilidad x impacto)</t>
  </si>
  <si>
    <t>Amenaza</t>
  </si>
  <si>
    <t>Oportunidad</t>
  </si>
  <si>
    <t>--</t>
  </si>
  <si>
    <t>R-01</t>
  </si>
  <si>
    <t>Servidor defectuoso</t>
  </si>
  <si>
    <t>El servidor se echa a perder en el transcurso de la transferencia .</t>
  </si>
  <si>
    <t>R-02</t>
  </si>
  <si>
    <t>Corte de Luz</t>
  </si>
  <si>
    <t xml:space="preserve">Se corta luz sin tener un backup de la base de datos en otras partes </t>
  </si>
  <si>
    <t>Matriz de riesgo</t>
  </si>
  <si>
    <t>R-03</t>
  </si>
  <si>
    <t>Apis expuestas</t>
  </si>
  <si>
    <t>El usuario puede ver la llaves de las apis a ocupar</t>
  </si>
  <si>
    <t>R-04</t>
  </si>
  <si>
    <t>Inyección de Prompts</t>
  </si>
  <si>
    <t>El usuario puede llegar a atentar contra la integridad tecnológica del chat bot a través de prompts injections.</t>
  </si>
  <si>
    <t>R-05</t>
  </si>
  <si>
    <t>Adquisicones de permisos limitadas para consultas claves en la base de datos</t>
  </si>
  <si>
    <t>El usuario tiene permisos suficientes para ingresar a la base de datos del administrador</t>
  </si>
  <si>
    <t>R-06</t>
  </si>
  <si>
    <t>Ineficiente operativa de la interfaz UX/UI.</t>
  </si>
  <si>
    <t xml:space="preserve"> la interfaz del chatbot es muy tosca para el usuario y poco intuitiva </t>
  </si>
  <si>
    <t>R-07</t>
  </si>
  <si>
    <t>Colapso de sesión con el bot</t>
  </si>
  <si>
    <t>La iteración máquina/usuario con el cliente el modelo se puede caer la conexión y terminar liquidando toda la información operada en el chat.</t>
  </si>
  <si>
    <t>R-08</t>
  </si>
  <si>
    <t>Falta de Recursos de rendimiento operativo</t>
  </si>
  <si>
    <t>Falta de recursos del sistema para gestionar las peticiones de las apis</t>
  </si>
  <si>
    <t>R-09</t>
  </si>
  <si>
    <t>Falta de conocimiento de manejo del stack tecnológico</t>
  </si>
  <si>
    <t>desconocimiento de las herramientas que se estan utilizando</t>
  </si>
  <si>
    <t>R-10</t>
  </si>
  <si>
    <t>Malas prácticas de arquitectura de software</t>
  </si>
  <si>
    <t>Implementación de patrones de arquitectura incompatibles con los requerimientos del sistema, lo que dificulta la escalabilidad, aumenta la deuda técnica y vuelve complejo el mantenimiento y la integración de nuevas funcionalidades.</t>
  </si>
  <si>
    <t>Npr</t>
  </si>
  <si>
    <t>Criticidad</t>
  </si>
  <si>
    <t>Tratamiento</t>
  </si>
  <si>
    <t>R-11</t>
  </si>
  <si>
    <t>Metas de actividades poco realistas</t>
  </si>
  <si>
    <t>Tiempos de trabajo muy cortos para el nivel de exigencia que requiere el proyecto</t>
  </si>
  <si>
    <t>1-50</t>
  </si>
  <si>
    <t>Baja</t>
  </si>
  <si>
    <t>Aceptar / Monitorear</t>
  </si>
  <si>
    <t>R-12</t>
  </si>
  <si>
    <t>Desconexión y falta de sincronización con el equipo</t>
  </si>
  <si>
    <t>Poca cordinacion del equipo, debido a problemas en la agenda que pueden ser efecto de un mala gestion de los horarios entre la practica profesional y el capstone.</t>
  </si>
  <si>
    <t>51-100</t>
  </si>
  <si>
    <t>Moderada</t>
  </si>
  <si>
    <t>Aplicar medidas de control</t>
  </si>
  <si>
    <t>R-13</t>
  </si>
  <si>
    <t>Mala gestión de requerimientos</t>
  </si>
  <si>
    <t>Requisitos ambiguos o mal definidos que provocan un alcance descontrolado del proyecto y entregas que no cumplen con las expectativas del prestamista.</t>
  </si>
  <si>
    <t>101-200</t>
  </si>
  <si>
    <t>Alta</t>
  </si>
  <si>
    <t>Tratamiento prioritario</t>
  </si>
  <si>
    <t>R-14</t>
  </si>
  <si>
    <t>Fallo en la pasarela de pagos</t>
  </si>
  <si>
    <t>Errores de integración o caídas en la API de pagos que resultan en cobros duplicados, transacciones fallidas o dinero no acreditado.</t>
  </si>
  <si>
    <t>201-625</t>
  </si>
  <si>
    <t>Critica</t>
  </si>
  <si>
    <t>Requiere tratamiento inmediato</t>
  </si>
  <si>
    <t>R-15</t>
  </si>
  <si>
    <t>Rechazo de la solución por el cliente</t>
  </si>
  <si>
    <t>El producto final no cumple con los criterios de aceptación, seguridad o usabilidad exigidos por las empresas prestamistas.</t>
  </si>
  <si>
    <t>R-16</t>
  </si>
  <si>
    <t>Falta de comunicación con el cliente</t>
  </si>
  <si>
    <t>Ausencia de feedback continuo o reuniones canceladas que generan una desalineación crítica entre el desarrollo y las necesidades del negocio.</t>
  </si>
  <si>
    <t>R-17</t>
  </si>
  <si>
    <t>Caída de servicios de terceros (APIs)</t>
  </si>
  <si>
    <t>Interrupción del servicio por parte de Meta (WhatsApp) o el proveedor de la pasarela de pagos, impidiendo la operación total del bot.</t>
  </si>
  <si>
    <t>R-18</t>
  </si>
  <si>
    <t>Vulnerabilidad de red (Firewall)</t>
  </si>
  <si>
    <t>Configuración errónea del firewall o infraestructura que expone los servidores a ataques externos o bloquea tráfico legítimo de los usuarios.</t>
  </si>
  <si>
    <t>R-19</t>
  </si>
  <si>
    <t>Corrupción del alcance (Scope Creep)</t>
  </si>
  <si>
    <t>Ideas poco claras y cambios constantes durante el desarrollo que extienden los plazos de entrega y agotan el presupuesto del proyecto.</t>
  </si>
  <si>
    <t>R-20</t>
  </si>
  <si>
    <t>Sobreingeniería tecnológica</t>
  </si>
  <si>
    <t>Uso de tecnologías innecesarias o demasiado complejas que aumentan los costos de infraestructura en la nube y dificultan el mantenimiento.</t>
  </si>
  <si>
    <t>R-21</t>
  </si>
  <si>
    <t>Bloqueo de cuenta de WhatsApp Business</t>
  </si>
  <si>
    <t>Meta bloquea el número del chatbot por infracción de políticas, falsos reportes de spam por parte de usuarios o plantillas no aprobadas.</t>
  </si>
  <si>
    <t>R-22</t>
  </si>
  <si>
    <t>Incumplimiento de normativas de datos</t>
  </si>
  <si>
    <t>Manejo inadecuado de datos financieros y personales sensibles de los deudores, exponiendo a la empresa a demandas y multas legales.</t>
  </si>
  <si>
    <t>R-23</t>
  </si>
  <si>
    <t>Fraude o uso de tarjetas robadas</t>
  </si>
  <si>
    <t>Usuarios malintencionados utilizan el chatbot para intentar procesar pagos con métodos de pago fraudulentos o suplantar identidades.</t>
  </si>
  <si>
    <t>R-24</t>
  </si>
  <si>
    <t>Desfase en la conciliación de deudas</t>
  </si>
  <si>
    <t>El bot procesa el pago exitosamente, pero falla la sincronización con la base de datos de la empresa prestamista, dejando la deuda activa.</t>
  </si>
  <si>
    <t>R-25</t>
  </si>
  <si>
    <t>Alta latencia en respuestas del bot</t>
  </si>
  <si>
    <t>Tiempos de espera prolongados debido a consultas lentas a la base de datos o APIs, provocando frustración y abandono del pago por el usuario.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</si>
</sst>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4">
    <font>
      <sz val="11.0"/>
      <color theme="1"/>
      <name val="Aptos Narrow"/>
      <scheme val="minor"/>
    </font>
    <font>
      <b/>
      <sz val="12.0"/>
      <color rgb="FFFFFFFF"/>
      <name val="Arial"/>
    </font>
    <font>
      <b/>
      <sz val="11.0"/>
      <color rgb="FFFFFFFF"/>
      <name val="Calibri"/>
    </font>
    <font/>
    <font>
      <color theme="1"/>
      <name val="Aptos Narrow"/>
      <scheme val="minor"/>
    </font>
    <font>
      <color theme="1"/>
      <name val="Arial"/>
    </font>
    <font>
      <b/>
      <color theme="1"/>
      <name val="Arial"/>
    </font>
    <font>
      <sz val="9.0"/>
      <color rgb="FF000000"/>
      <name val="Arial"/>
    </font>
    <font>
      <color rgb="FF000000"/>
      <name val="Arial"/>
    </font>
    <font>
      <b/>
      <sz val="20.0"/>
      <color rgb="FFFFFFFF"/>
      <name val="Arial"/>
    </font>
    <font>
      <b/>
      <sz val="25.0"/>
      <color theme="1"/>
      <name val="Arial"/>
    </font>
    <font>
      <b/>
      <color rgb="FFFFFFFF"/>
      <name val="Arial"/>
    </font>
    <font>
      <b/>
      <sz val="24.0"/>
      <color theme="1"/>
      <name val="Arial"/>
    </font>
    <font>
      <color rgb="FFFFFFFF"/>
      <name val="Arial"/>
    </font>
  </fonts>
  <fills count="10">
    <fill>
      <patternFill patternType="none"/>
    </fill>
    <fill>
      <patternFill patternType="lightGray"/>
    </fill>
    <fill>
      <patternFill patternType="solid">
        <fgColor rgb="FF000000"/>
        <bgColor rgb="FF000000"/>
      </patternFill>
    </fill>
    <fill>
      <patternFill patternType="solid">
        <fgColor rgb="FF012F55"/>
        <bgColor rgb="FF012F55"/>
      </patternFill>
    </fill>
    <fill>
      <patternFill patternType="solid">
        <fgColor theme="1"/>
        <bgColor theme="1"/>
      </patternFill>
    </fill>
    <fill>
      <patternFill patternType="solid">
        <fgColor rgb="FFFFFFFF"/>
        <bgColor rgb="FFFFFFFF"/>
      </patternFill>
    </fill>
    <fill>
      <patternFill patternType="solid">
        <fgColor rgb="FF00FF00"/>
        <bgColor rgb="FF00FF00"/>
      </patternFill>
    </fill>
    <fill>
      <patternFill patternType="solid">
        <fgColor rgb="FFFF9900"/>
        <bgColor rgb="FFFF9900"/>
      </patternFill>
    </fill>
    <fill>
      <patternFill patternType="solid">
        <fgColor rgb="FFFFFF00"/>
        <bgColor rgb="FFFFFF00"/>
      </patternFill>
    </fill>
    <fill>
      <patternFill patternType="solid">
        <fgColor rgb="FFFF0000"/>
        <bgColor rgb="FFFF0000"/>
      </patternFill>
    </fill>
  </fills>
  <borders count="8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9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vertical="center"/>
    </xf>
    <xf borderId="2" fillId="3" fontId="2" numFmtId="0" xfId="0" applyAlignment="1" applyBorder="1" applyFill="1" applyFont="1">
      <alignment horizontal="center"/>
    </xf>
    <xf borderId="2" fillId="2" fontId="1" numFmtId="0" xfId="0" applyAlignment="1" applyBorder="1" applyFill="1" applyFont="1">
      <alignment horizontal="center" readingOrder="0" vertical="center"/>
    </xf>
    <xf borderId="2" fillId="3" fontId="2" numFmtId="0" xfId="0" applyAlignment="1" applyBorder="1" applyFill="1" applyFont="1">
      <alignment horizontal="center" shrinkToFit="0" wrapText="1"/>
    </xf>
    <xf borderId="1" fillId="2" fontId="1" numFmtId="0" xfId="0" applyAlignment="1" applyBorder="1" applyFill="1" applyFont="1">
      <alignment horizontal="center" shrinkToFit="0" vertical="center" wrapText="1"/>
    </xf>
    <xf borderId="2" fillId="3" fontId="2" numFmtId="0" xfId="0" applyAlignment="1" applyBorder="1" applyFill="1" applyFont="1">
      <alignment horizontal="center"/>
    </xf>
    <xf borderId="3" fillId="3" fontId="2" numFmtId="0" xfId="0" applyAlignment="1" applyBorder="1" applyFill="1" applyFont="1">
      <alignment horizontal="center"/>
    </xf>
    <xf borderId="4" fillId="0" fontId="3" numFmtId="0" xfId="0" applyBorder="1" applyFont="1"/>
    <xf borderId="1" fillId="2" fontId="1" numFmtId="0" xfId="0" applyAlignment="1" applyBorder="1" applyFill="1" applyFont="1">
      <alignment horizontal="center" shrinkToFit="0" vertical="center" wrapText="1"/>
    </xf>
    <xf borderId="1" fillId="2" fontId="1" numFmtId="0" xfId="0" applyAlignment="1" applyBorder="1" applyFill="1" applyFont="1">
      <alignment horizontal="center" readingOrder="0" shrinkToFit="0" vertical="center" wrapText="1"/>
    </xf>
    <xf borderId="0" fillId="4" fontId="1" numFmtId="0" xfId="0" applyAlignment="1" applyFill="1" applyFont="1">
      <alignment horizontal="center" readingOrder="0" shrinkToFit="0" vertical="center" wrapText="1"/>
    </xf>
    <xf borderId="5" fillId="0" fontId="3" numFmtId="0" xfId="0" applyBorder="1" applyFont="1"/>
    <xf borderId="0" fillId="2" fontId="4" numFmtId="0" xfId="0" applyFill="1" applyFont="1"/>
    <xf borderId="1" fillId="3" fontId="2" numFmtId="0" xfId="0" applyAlignment="1" applyBorder="1" applyFill="1" applyFont="1">
      <alignment horizontal="center"/>
    </xf>
    <xf borderId="0" fillId="0" fontId="5" numFmtId="0" xfId="0" applyAlignment="1" applyFont="1">
      <alignment readingOrder="0"/>
    </xf>
    <xf borderId="1" fillId="0" fontId="6" numFmtId="0" xfId="0" applyAlignment="1" applyBorder="1" applyFont="1">
      <alignment horizontal="center" readingOrder="0" shrinkToFit="0" vertical="center" wrapText="1"/>
    </xf>
    <xf borderId="3" fillId="0" fontId="6" numFmtId="0" xfId="0" applyAlignment="1" applyBorder="1" applyFont="1">
      <alignment readingOrder="0" shrinkToFit="0" vertical="center" wrapText="1"/>
    </xf>
    <xf borderId="1" fillId="5" fontId="7" numFmtId="0" xfId="0" applyAlignment="1" applyBorder="1" applyFill="1" applyFont="1">
      <alignment horizontal="left" readingOrder="0" shrinkToFit="0" vertical="center" wrapText="1"/>
    </xf>
    <xf borderId="4" fillId="0" fontId="5" numFmtId="0" xfId="0" applyAlignment="1" applyBorder="1" applyFont="1">
      <alignment horizontal="center" readingOrder="0" shrinkToFit="0" vertical="center" wrapText="1"/>
    </xf>
    <xf borderId="1" fillId="0" fontId="5" numFmtId="0" xfId="0" applyAlignment="1" applyBorder="1" applyFont="1">
      <alignment horizontal="center" readingOrder="0" shrinkToFit="0" vertical="center" wrapText="1"/>
    </xf>
    <xf borderId="1" fillId="6" fontId="5" numFmtId="0" xfId="0" applyAlignment="1" applyBorder="1" applyFill="1" applyFont="1">
      <alignment horizontal="center" readingOrder="0" shrinkToFit="0" vertical="center" wrapText="1"/>
    </xf>
    <xf borderId="0" fillId="2" fontId="5" numFmtId="0" xfId="0" applyAlignment="1" applyFill="1" applyFont="1">
      <alignment readingOrder="0"/>
    </xf>
    <xf borderId="1" fillId="7" fontId="8" numFmtId="0" xfId="0" applyAlignment="1" applyBorder="1" applyFill="1" applyFont="1">
      <alignment horizontal="center" readingOrder="0" shrinkToFit="0" vertical="center" wrapText="1"/>
    </xf>
    <xf borderId="1" fillId="8" fontId="5" numFmtId="0" xfId="0" applyAlignment="1" applyBorder="1" applyFill="1" applyFont="1">
      <alignment horizontal="center" readingOrder="0" shrinkToFit="0" vertical="center" wrapText="1"/>
    </xf>
    <xf borderId="0" fillId="2" fontId="9" numFmtId="0" xfId="0" applyAlignment="1" applyFill="1" applyFont="1">
      <alignment horizontal="center" readingOrder="0"/>
    </xf>
    <xf borderId="2" fillId="0" fontId="10" numFmtId="0" xfId="0" applyAlignment="1" applyBorder="1" applyFont="1">
      <alignment horizontal="center" readingOrder="0" textRotation="90" vertical="center"/>
    </xf>
    <xf borderId="1" fillId="8" fontId="6" numFmtId="0" xfId="0" applyAlignment="1" applyBorder="1" applyFill="1" applyFont="1">
      <alignment horizontal="center" readingOrder="0" vertical="center"/>
    </xf>
    <xf borderId="1" fillId="7" fontId="6" numFmtId="0" xfId="0" applyAlignment="1" applyBorder="1" applyFill="1" applyFont="1">
      <alignment horizontal="center" readingOrder="0" vertical="center"/>
    </xf>
    <xf borderId="1" fillId="9" fontId="11" numFmtId="0" xfId="0" applyAlignment="1" applyBorder="1" applyFill="1" applyFont="1">
      <alignment horizontal="center" readingOrder="0" vertical="center"/>
    </xf>
    <xf borderId="6" fillId="0" fontId="3" numFmtId="0" xfId="0" applyBorder="1" applyFont="1"/>
    <xf borderId="1" fillId="6" fontId="6" numFmtId="0" xfId="0" applyAlignment="1" applyBorder="1" applyFill="1" applyFont="1">
      <alignment horizontal="center" readingOrder="0" vertical="center"/>
    </xf>
    <xf borderId="1" fillId="5" fontId="7" numFmtId="0" xfId="0" applyAlignment="1" applyBorder="1" applyFill="1" applyFont="1">
      <alignment horizontal="left" shrinkToFit="0" vertical="center" wrapText="1"/>
    </xf>
    <xf borderId="1" fillId="7" fontId="5" numFmtId="0" xfId="0" applyAlignment="1" applyBorder="1" applyFill="1" applyFont="1">
      <alignment horizontal="center" readingOrder="0" shrinkToFit="0" vertical="center" wrapText="1"/>
    </xf>
    <xf borderId="0" fillId="5" fontId="5" numFmtId="0" xfId="0" applyAlignment="1" applyFill="1" applyFont="1">
      <alignment readingOrder="0"/>
    </xf>
    <xf borderId="3" fillId="0" fontId="12" numFmtId="0" xfId="0" applyAlignment="1" applyBorder="1" applyFont="1">
      <alignment horizontal="center" readingOrder="0" vertical="center"/>
    </xf>
    <xf borderId="7" fillId="0" fontId="3" numFmtId="0" xfId="0" applyBorder="1" applyFont="1"/>
    <xf borderId="0" fillId="2" fontId="12" numFmtId="0" xfId="0" applyAlignment="1" applyFill="1" applyFont="1">
      <alignment horizontal="center" readingOrder="0"/>
    </xf>
    <xf borderId="1" fillId="2" fontId="11" numFmtId="0" xfId="0" applyAlignment="1" applyBorder="1" applyFill="1" applyFont="1">
      <alignment horizontal="center" readingOrder="0"/>
    </xf>
    <xf borderId="3" fillId="2" fontId="11" numFmtId="0" xfId="0" applyAlignment="1" applyBorder="1" applyFill="1" applyFont="1">
      <alignment horizontal="center" readingOrder="0"/>
    </xf>
    <xf borderId="1" fillId="6" fontId="5" numFmtId="0" xfId="0" applyAlignment="1" applyBorder="1" applyFill="1" applyFont="1">
      <alignment horizontal="center" readingOrder="0" vertical="center"/>
    </xf>
    <xf borderId="1" fillId="0" fontId="5" numFmtId="0" xfId="0" applyAlignment="1" applyBorder="1" applyFont="1">
      <alignment horizontal="center" readingOrder="0" vertical="center"/>
    </xf>
    <xf borderId="3" fillId="0" fontId="5" numFmtId="0" xfId="0" applyAlignment="1" applyBorder="1" applyFont="1">
      <alignment horizontal="center" readingOrder="0" vertical="center"/>
    </xf>
    <xf borderId="1" fillId="8" fontId="5" numFmtId="0" xfId="0" applyAlignment="1" applyBorder="1" applyFill="1" applyFont="1">
      <alignment horizontal="center" readingOrder="0" vertical="center"/>
    </xf>
    <xf borderId="1" fillId="7" fontId="5" numFmtId="0" xfId="0" applyAlignment="1" applyBorder="1" applyFill="1" applyFont="1">
      <alignment horizontal="center" readingOrder="0" vertical="center"/>
    </xf>
    <xf borderId="1" fillId="9" fontId="13" numFmtId="0" xfId="0" applyAlignment="1" applyBorder="1" applyFill="1" applyFont="1">
      <alignment horizontal="center" readingOrder="0" vertical="center"/>
    </xf>
    <xf borderId="1" fillId="0" fontId="6" numFmtId="0" xfId="0" applyAlignment="1" applyBorder="1" applyFont="1">
      <alignment readingOrder="0" shrinkToFit="0" vertical="center" wrapText="1"/>
    </xf>
    <xf borderId="5" fillId="0" fontId="7" numFmtId="0" xfId="0" applyAlignment="1" applyBorder="1" applyFont="1">
      <alignment readingOrder="0" shrinkToFit="0" vertical="top" wrapText="1"/>
    </xf>
    <xf borderId="1" fillId="0" fontId="7" numFmtId="0" xfId="0" applyAlignment="1" applyBorder="1" applyFont="1">
      <alignment readingOrder="0"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8.13"/>
    <col customWidth="1" min="2" max="2" width="17.5"/>
    <col customWidth="1" min="3" max="3" width="28.75"/>
    <col customWidth="1" min="4" max="4" width="13.63"/>
    <col customWidth="1" min="5" max="5" width="9.13"/>
    <col customWidth="1" min="6" max="6" width="13.38"/>
    <col customWidth="1" min="7" max="7" width="10.88"/>
    <col customWidth="1" min="8" max="8" width="16.38"/>
    <col customWidth="1" min="9" max="9" width="20.5"/>
    <col customWidth="1" min="10" max="17" width="10.63"/>
  </cols>
  <sheetData>
    <row r="1" ht="14.25" customHeight="1">
      <c r="A1" s="1" t="s">
        <v>0</v>
      </c>
      <c r="B1" s="1" t="s">
        <v>2</v>
      </c>
      <c r="C1" s="3" t="s">
        <v>3</v>
      </c>
      <c r="D1" s="5" t="s">
        <v>6</v>
      </c>
      <c r="E1" s="5" t="s">
        <v>7</v>
      </c>
      <c r="F1" s="5" t="s">
        <v>10</v>
      </c>
      <c r="G1" s="9" t="s">
        <v>11</v>
      </c>
      <c r="H1" s="10" t="s">
        <v>14</v>
      </c>
      <c r="I1" s="11" t="s">
        <v>17</v>
      </c>
      <c r="J1" s="13"/>
      <c r="K1" s="13"/>
      <c r="L1" s="13"/>
      <c r="M1" s="13"/>
      <c r="N1" s="13"/>
      <c r="O1" s="13"/>
      <c r="P1" s="13"/>
      <c r="Q1" s="13"/>
    </row>
    <row r="2" ht="58.5" customHeight="1">
      <c r="A2" s="16" t="s">
        <v>21</v>
      </c>
      <c r="B2" s="17" t="s">
        <v>22</v>
      </c>
      <c r="C2" s="18" t="s">
        <v>23</v>
      </c>
      <c r="D2" s="19">
        <v>1.0</v>
      </c>
      <c r="E2" s="20">
        <v>3.0</v>
      </c>
      <c r="F2" s="20">
        <v>2.0</v>
      </c>
      <c r="G2" s="20">
        <v>4.0</v>
      </c>
      <c r="H2" s="21">
        <f t="shared" ref="H2:H26" si="1">D2*E2*F2*G2</f>
        <v>24</v>
      </c>
      <c r="I2" s="21">
        <f t="shared" ref="I2:I26" si="2">D2*E2</f>
        <v>3</v>
      </c>
      <c r="J2" s="13"/>
      <c r="K2" s="13"/>
      <c r="L2" s="22"/>
      <c r="M2" s="13"/>
      <c r="N2" s="13"/>
      <c r="O2" s="13"/>
      <c r="P2" s="13"/>
      <c r="Q2" s="13"/>
    </row>
    <row r="3" ht="58.5" customHeight="1">
      <c r="A3" s="16" t="s">
        <v>24</v>
      </c>
      <c r="B3" s="17" t="s">
        <v>25</v>
      </c>
      <c r="C3" s="18" t="s">
        <v>26</v>
      </c>
      <c r="D3" s="19">
        <v>1.0</v>
      </c>
      <c r="E3" s="20">
        <v>5.0</v>
      </c>
      <c r="F3" s="20">
        <v>5.0</v>
      </c>
      <c r="G3" s="20">
        <v>5.0</v>
      </c>
      <c r="H3" s="23">
        <f t="shared" si="1"/>
        <v>125</v>
      </c>
      <c r="I3" s="24">
        <f t="shared" si="2"/>
        <v>5</v>
      </c>
      <c r="J3" s="13"/>
      <c r="K3" s="25" t="s">
        <v>27</v>
      </c>
      <c r="Q3" s="25"/>
    </row>
    <row r="4" ht="58.5" customHeight="1">
      <c r="A4" s="16" t="s">
        <v>28</v>
      </c>
      <c r="B4" s="17" t="s">
        <v>29</v>
      </c>
      <c r="C4" s="18" t="s">
        <v>30</v>
      </c>
      <c r="D4" s="19">
        <v>1.0</v>
      </c>
      <c r="E4" s="20">
        <v>3.0</v>
      </c>
      <c r="F4" s="20">
        <v>2.0</v>
      </c>
      <c r="G4" s="20">
        <v>2.0</v>
      </c>
      <c r="H4" s="21">
        <f t="shared" si="1"/>
        <v>12</v>
      </c>
      <c r="I4" s="21">
        <f t="shared" si="2"/>
        <v>3</v>
      </c>
      <c r="J4" s="13"/>
      <c r="K4" s="26" t="s">
        <v>7</v>
      </c>
      <c r="L4" s="27">
        <v>5.0</v>
      </c>
      <c r="M4" s="27">
        <v>10.0</v>
      </c>
      <c r="N4" s="28">
        <v>15.0</v>
      </c>
      <c r="O4" s="29">
        <v>20.0</v>
      </c>
      <c r="P4" s="29">
        <v>25.0</v>
      </c>
      <c r="Q4" s="22"/>
    </row>
    <row r="5" ht="58.5" customHeight="1">
      <c r="A5" s="16" t="s">
        <v>31</v>
      </c>
      <c r="B5" s="17" t="s">
        <v>32</v>
      </c>
      <c r="C5" s="18" t="s">
        <v>33</v>
      </c>
      <c r="D5" s="19">
        <v>3.0</v>
      </c>
      <c r="E5" s="20">
        <v>3.0</v>
      </c>
      <c r="F5" s="20">
        <v>2.0</v>
      </c>
      <c r="G5" s="20">
        <v>3.0</v>
      </c>
      <c r="H5" s="24">
        <f t="shared" si="1"/>
        <v>54</v>
      </c>
      <c r="I5" s="24">
        <f t="shared" si="2"/>
        <v>9</v>
      </c>
      <c r="J5" s="13"/>
      <c r="K5" s="30"/>
      <c r="L5" s="31">
        <v>4.0</v>
      </c>
      <c r="M5" s="27">
        <v>8.0</v>
      </c>
      <c r="N5" s="28">
        <v>12.0</v>
      </c>
      <c r="O5" s="28">
        <v>16.0</v>
      </c>
      <c r="P5" s="29">
        <v>20.0</v>
      </c>
      <c r="Q5" s="22"/>
    </row>
    <row r="6" ht="71.25" customHeight="1">
      <c r="A6" s="16" t="s">
        <v>34</v>
      </c>
      <c r="B6" s="17" t="s">
        <v>35</v>
      </c>
      <c r="C6" s="32" t="s">
        <v>36</v>
      </c>
      <c r="D6" s="19">
        <v>2.0</v>
      </c>
      <c r="E6" s="20">
        <v>4.0</v>
      </c>
      <c r="F6" s="20">
        <v>3.0</v>
      </c>
      <c r="G6" s="20">
        <v>3.0</v>
      </c>
      <c r="H6" s="24">
        <f t="shared" si="1"/>
        <v>72</v>
      </c>
      <c r="I6" s="24">
        <f t="shared" si="2"/>
        <v>8</v>
      </c>
      <c r="J6" s="13"/>
      <c r="K6" s="30"/>
      <c r="L6" s="31">
        <v>3.0</v>
      </c>
      <c r="M6" s="27">
        <v>6.0</v>
      </c>
      <c r="N6" s="27">
        <v>9.0</v>
      </c>
      <c r="O6" s="28">
        <v>12.0</v>
      </c>
      <c r="P6" s="28">
        <v>15.0</v>
      </c>
      <c r="Q6" s="22"/>
    </row>
    <row r="7" ht="58.5" customHeight="1">
      <c r="A7" s="16" t="s">
        <v>37</v>
      </c>
      <c r="B7" s="17" t="s">
        <v>38</v>
      </c>
      <c r="C7" s="32" t="s">
        <v>39</v>
      </c>
      <c r="D7" s="19">
        <v>4.0</v>
      </c>
      <c r="E7" s="20">
        <v>1.0</v>
      </c>
      <c r="F7" s="20">
        <v>3.0</v>
      </c>
      <c r="G7" s="20">
        <v>2.0</v>
      </c>
      <c r="H7" s="21">
        <f t="shared" si="1"/>
        <v>24</v>
      </c>
      <c r="I7" s="21">
        <f t="shared" si="2"/>
        <v>4</v>
      </c>
      <c r="J7" s="13"/>
      <c r="K7" s="30"/>
      <c r="L7" s="31">
        <v>2.0</v>
      </c>
      <c r="M7" s="31">
        <v>4.0</v>
      </c>
      <c r="N7" s="27">
        <v>6.0</v>
      </c>
      <c r="O7" s="27">
        <v>8.0</v>
      </c>
      <c r="P7" s="27">
        <v>10.0</v>
      </c>
      <c r="Q7" s="22"/>
    </row>
    <row r="8" ht="58.5" customHeight="1">
      <c r="A8" s="16" t="s">
        <v>40</v>
      </c>
      <c r="B8" s="17" t="s">
        <v>41</v>
      </c>
      <c r="C8" s="18" t="s">
        <v>42</v>
      </c>
      <c r="D8" s="19">
        <v>4.0</v>
      </c>
      <c r="E8" s="20">
        <v>3.0</v>
      </c>
      <c r="F8" s="20">
        <v>1.0</v>
      </c>
      <c r="G8" s="20">
        <v>2.0</v>
      </c>
      <c r="H8" s="21">
        <f t="shared" si="1"/>
        <v>24</v>
      </c>
      <c r="I8" s="33">
        <f t="shared" si="2"/>
        <v>12</v>
      </c>
      <c r="J8" s="13"/>
      <c r="K8" s="12"/>
      <c r="L8" s="31">
        <v>1.0</v>
      </c>
      <c r="M8" s="31">
        <v>2.0</v>
      </c>
      <c r="N8" s="31">
        <v>3.0</v>
      </c>
      <c r="O8" s="31">
        <v>4.0</v>
      </c>
      <c r="P8" s="27">
        <v>5.0</v>
      </c>
      <c r="Q8" s="22"/>
    </row>
    <row r="9" ht="58.5" customHeight="1">
      <c r="A9" s="16" t="s">
        <v>43</v>
      </c>
      <c r="B9" s="17" t="s">
        <v>44</v>
      </c>
      <c r="C9" s="18" t="s">
        <v>45</v>
      </c>
      <c r="D9" s="19">
        <v>1.0</v>
      </c>
      <c r="E9" s="20">
        <v>3.0</v>
      </c>
      <c r="F9" s="20">
        <v>5.0</v>
      </c>
      <c r="G9" s="20">
        <v>3.0</v>
      </c>
      <c r="H9" s="21">
        <f t="shared" si="1"/>
        <v>45</v>
      </c>
      <c r="I9" s="21">
        <f t="shared" si="2"/>
        <v>3</v>
      </c>
      <c r="J9" s="13"/>
      <c r="K9" s="34"/>
      <c r="L9" s="35" t="s">
        <v>6</v>
      </c>
      <c r="M9" s="36"/>
      <c r="N9" s="36"/>
      <c r="O9" s="36"/>
      <c r="P9" s="8"/>
      <c r="Q9" s="37"/>
    </row>
    <row r="10" ht="58.5" customHeight="1">
      <c r="A10" s="16" t="s">
        <v>46</v>
      </c>
      <c r="B10" s="17" t="s">
        <v>47</v>
      </c>
      <c r="C10" s="18" t="s">
        <v>48</v>
      </c>
      <c r="D10" s="19">
        <v>4.0</v>
      </c>
      <c r="E10" s="20">
        <v>4.0</v>
      </c>
      <c r="F10" s="20">
        <v>3.0</v>
      </c>
      <c r="G10" s="20">
        <v>3.0</v>
      </c>
      <c r="H10" s="33">
        <f t="shared" si="1"/>
        <v>144</v>
      </c>
      <c r="I10" s="33">
        <f t="shared" si="2"/>
        <v>16</v>
      </c>
      <c r="J10" s="13"/>
      <c r="K10" s="13"/>
      <c r="L10" s="13"/>
      <c r="M10" s="13"/>
      <c r="N10" s="13"/>
      <c r="O10" s="13"/>
      <c r="P10" s="13"/>
      <c r="Q10" s="13"/>
    </row>
    <row r="11" ht="62.25" customHeight="1">
      <c r="A11" s="16" t="s">
        <v>49</v>
      </c>
      <c r="B11" s="17" t="s">
        <v>50</v>
      </c>
      <c r="C11" s="18" t="s">
        <v>51</v>
      </c>
      <c r="D11" s="19">
        <v>3.0</v>
      </c>
      <c r="E11" s="20">
        <v>4.0</v>
      </c>
      <c r="F11" s="20">
        <v>3.0</v>
      </c>
      <c r="G11" s="20">
        <v>4.0</v>
      </c>
      <c r="H11" s="33">
        <f t="shared" si="1"/>
        <v>144</v>
      </c>
      <c r="I11" s="33">
        <f t="shared" si="2"/>
        <v>12</v>
      </c>
      <c r="J11" s="13"/>
      <c r="K11" s="38" t="s">
        <v>52</v>
      </c>
      <c r="L11" s="38" t="s">
        <v>53</v>
      </c>
      <c r="M11" s="39" t="s">
        <v>54</v>
      </c>
      <c r="N11" s="36"/>
      <c r="O11" s="8"/>
      <c r="P11" s="13"/>
      <c r="Q11" s="13"/>
    </row>
    <row r="12" ht="58.5" customHeight="1">
      <c r="A12" s="16" t="s">
        <v>55</v>
      </c>
      <c r="B12" s="17" t="s">
        <v>56</v>
      </c>
      <c r="C12" s="18" t="s">
        <v>57</v>
      </c>
      <c r="D12" s="19">
        <v>3.0</v>
      </c>
      <c r="E12" s="20">
        <v>5.0</v>
      </c>
      <c r="F12" s="20">
        <v>3.0</v>
      </c>
      <c r="G12" s="20">
        <v>2.0</v>
      </c>
      <c r="H12" s="24">
        <f t="shared" si="1"/>
        <v>90</v>
      </c>
      <c r="I12" s="33">
        <f t="shared" si="2"/>
        <v>15</v>
      </c>
      <c r="J12" s="13"/>
      <c r="K12" s="40" t="s">
        <v>58</v>
      </c>
      <c r="L12" s="41" t="s">
        <v>59</v>
      </c>
      <c r="M12" s="42" t="s">
        <v>60</v>
      </c>
      <c r="N12" s="36"/>
      <c r="O12" s="8"/>
      <c r="P12" s="13"/>
      <c r="Q12" s="13"/>
    </row>
    <row r="13" ht="58.5" customHeight="1">
      <c r="A13" s="16" t="s">
        <v>61</v>
      </c>
      <c r="B13" s="17" t="s">
        <v>62</v>
      </c>
      <c r="C13" s="18" t="s">
        <v>63</v>
      </c>
      <c r="D13" s="19">
        <v>4.0</v>
      </c>
      <c r="E13" s="20">
        <v>3.0</v>
      </c>
      <c r="F13" s="20">
        <v>4.0</v>
      </c>
      <c r="G13" s="20">
        <v>2.0</v>
      </c>
      <c r="H13" s="24">
        <f t="shared" si="1"/>
        <v>96</v>
      </c>
      <c r="I13" s="33">
        <f t="shared" si="2"/>
        <v>12</v>
      </c>
      <c r="J13" s="13"/>
      <c r="K13" s="43" t="s">
        <v>64</v>
      </c>
      <c r="L13" s="41" t="s">
        <v>65</v>
      </c>
      <c r="M13" s="42" t="s">
        <v>66</v>
      </c>
      <c r="N13" s="36"/>
      <c r="O13" s="8"/>
      <c r="P13" s="13"/>
      <c r="Q13" s="13"/>
    </row>
    <row r="14" ht="58.5" customHeight="1">
      <c r="A14" s="16" t="s">
        <v>67</v>
      </c>
      <c r="B14" s="17" t="s">
        <v>68</v>
      </c>
      <c r="C14" s="18" t="s">
        <v>69</v>
      </c>
      <c r="D14" s="19">
        <v>4.0</v>
      </c>
      <c r="E14" s="20">
        <v>3.0</v>
      </c>
      <c r="F14" s="20">
        <v>3.0</v>
      </c>
      <c r="G14" s="20">
        <v>4.0</v>
      </c>
      <c r="H14" s="33">
        <f t="shared" si="1"/>
        <v>144</v>
      </c>
      <c r="I14" s="33">
        <f t="shared" si="2"/>
        <v>12</v>
      </c>
      <c r="J14" s="13"/>
      <c r="K14" s="44" t="s">
        <v>70</v>
      </c>
      <c r="L14" s="41" t="s">
        <v>71</v>
      </c>
      <c r="M14" s="42" t="s">
        <v>72</v>
      </c>
      <c r="N14" s="36"/>
      <c r="O14" s="8"/>
      <c r="P14" s="13"/>
      <c r="Q14" s="13"/>
    </row>
    <row r="15" ht="58.5" customHeight="1">
      <c r="A15" s="16" t="s">
        <v>73</v>
      </c>
      <c r="B15" s="17" t="s">
        <v>74</v>
      </c>
      <c r="C15" s="18" t="s">
        <v>75</v>
      </c>
      <c r="D15" s="19">
        <v>3.0</v>
      </c>
      <c r="E15" s="20">
        <v>5.0</v>
      </c>
      <c r="F15" s="20">
        <v>3.0</v>
      </c>
      <c r="G15" s="20">
        <v>4.0</v>
      </c>
      <c r="H15" s="33">
        <f t="shared" si="1"/>
        <v>180</v>
      </c>
      <c r="I15" s="33">
        <f t="shared" si="2"/>
        <v>15</v>
      </c>
      <c r="J15" s="13"/>
      <c r="K15" s="45" t="s">
        <v>76</v>
      </c>
      <c r="L15" s="41" t="s">
        <v>77</v>
      </c>
      <c r="M15" s="42" t="s">
        <v>78</v>
      </c>
      <c r="N15" s="36"/>
      <c r="O15" s="8"/>
      <c r="P15" s="13"/>
      <c r="Q15" s="13"/>
    </row>
    <row r="16" ht="58.5" customHeight="1">
      <c r="A16" s="16" t="s">
        <v>79</v>
      </c>
      <c r="B16" s="17" t="s">
        <v>80</v>
      </c>
      <c r="C16" s="18" t="s">
        <v>81</v>
      </c>
      <c r="D16" s="19">
        <v>2.0</v>
      </c>
      <c r="E16" s="20">
        <v>5.0</v>
      </c>
      <c r="F16" s="20">
        <v>3.0</v>
      </c>
      <c r="G16" s="20">
        <v>3.0</v>
      </c>
      <c r="H16" s="24">
        <f t="shared" si="1"/>
        <v>90</v>
      </c>
      <c r="I16" s="24">
        <f t="shared" si="2"/>
        <v>10</v>
      </c>
      <c r="J16" s="13"/>
      <c r="K16" s="13"/>
      <c r="L16" s="13"/>
      <c r="M16" s="13"/>
      <c r="N16" s="13"/>
      <c r="O16" s="13"/>
      <c r="P16" s="13"/>
      <c r="Q16" s="13"/>
    </row>
    <row r="17" ht="58.5" customHeight="1">
      <c r="A17" s="16" t="s">
        <v>82</v>
      </c>
      <c r="B17" s="17" t="s">
        <v>83</v>
      </c>
      <c r="C17" s="18" t="s">
        <v>84</v>
      </c>
      <c r="D17" s="19">
        <v>3.0</v>
      </c>
      <c r="E17" s="20">
        <v>4.0</v>
      </c>
      <c r="F17" s="20">
        <v>3.0</v>
      </c>
      <c r="G17" s="20">
        <v>3.0</v>
      </c>
      <c r="H17" s="33">
        <f t="shared" si="1"/>
        <v>108</v>
      </c>
      <c r="I17" s="33">
        <f t="shared" si="2"/>
        <v>12</v>
      </c>
      <c r="J17" s="13"/>
      <c r="K17" s="13"/>
      <c r="L17" s="13"/>
      <c r="M17" s="13"/>
      <c r="N17" s="13"/>
      <c r="O17" s="13"/>
      <c r="P17" s="13"/>
      <c r="Q17" s="13"/>
    </row>
    <row r="18" ht="58.5" customHeight="1">
      <c r="A18" s="16" t="s">
        <v>85</v>
      </c>
      <c r="B18" s="17" t="s">
        <v>86</v>
      </c>
      <c r="C18" s="18" t="s">
        <v>87</v>
      </c>
      <c r="D18" s="19">
        <v>3.0</v>
      </c>
      <c r="E18" s="20">
        <v>4.0</v>
      </c>
      <c r="F18" s="20">
        <v>3.0</v>
      </c>
      <c r="G18" s="20">
        <v>3.0</v>
      </c>
      <c r="H18" s="33">
        <f t="shared" si="1"/>
        <v>108</v>
      </c>
      <c r="I18" s="33">
        <f t="shared" si="2"/>
        <v>12</v>
      </c>
      <c r="J18" s="13"/>
      <c r="K18" s="13"/>
      <c r="L18" s="13"/>
      <c r="M18" s="13"/>
      <c r="N18" s="13"/>
      <c r="O18" s="13"/>
      <c r="P18" s="13"/>
      <c r="Q18" s="13"/>
    </row>
    <row r="19" ht="58.5" customHeight="1">
      <c r="A19" s="16" t="s">
        <v>88</v>
      </c>
      <c r="B19" s="17" t="s">
        <v>89</v>
      </c>
      <c r="C19" s="18" t="s">
        <v>90</v>
      </c>
      <c r="D19" s="19">
        <v>3.0</v>
      </c>
      <c r="E19" s="20">
        <v>4.0</v>
      </c>
      <c r="F19" s="20">
        <v>3.0</v>
      </c>
      <c r="G19" s="20">
        <v>3.0</v>
      </c>
      <c r="H19" s="33">
        <f t="shared" si="1"/>
        <v>108</v>
      </c>
      <c r="I19" s="33">
        <f t="shared" si="2"/>
        <v>12</v>
      </c>
      <c r="J19" s="13"/>
      <c r="K19" s="13"/>
      <c r="L19" s="13"/>
      <c r="M19" s="13"/>
      <c r="N19" s="13"/>
      <c r="O19" s="13"/>
      <c r="P19" s="13"/>
      <c r="Q19" s="13"/>
    </row>
    <row r="20" ht="58.5" customHeight="1">
      <c r="A20" s="16" t="s">
        <v>91</v>
      </c>
      <c r="B20" s="17" t="s">
        <v>92</v>
      </c>
      <c r="C20" s="18" t="s">
        <v>93</v>
      </c>
      <c r="D20" s="19">
        <v>3.0</v>
      </c>
      <c r="E20" s="20">
        <v>4.0</v>
      </c>
      <c r="F20" s="20">
        <v>3.0</v>
      </c>
      <c r="G20" s="20">
        <v>3.0</v>
      </c>
      <c r="H20" s="33">
        <f t="shared" si="1"/>
        <v>108</v>
      </c>
      <c r="I20" s="33">
        <f t="shared" si="2"/>
        <v>12</v>
      </c>
      <c r="J20" s="13"/>
      <c r="K20" s="13"/>
      <c r="L20" s="13"/>
      <c r="M20" s="13"/>
      <c r="N20" s="13"/>
      <c r="O20" s="13"/>
      <c r="P20" s="13"/>
      <c r="Q20" s="13"/>
    </row>
    <row r="21" ht="58.5" customHeight="1">
      <c r="A21" s="16" t="s">
        <v>94</v>
      </c>
      <c r="B21" s="17" t="s">
        <v>95</v>
      </c>
      <c r="C21" s="18" t="s">
        <v>96</v>
      </c>
      <c r="D21" s="19">
        <v>3.0</v>
      </c>
      <c r="E21" s="20">
        <v>4.0</v>
      </c>
      <c r="F21" s="20">
        <v>3.0</v>
      </c>
      <c r="G21" s="20">
        <v>3.0</v>
      </c>
      <c r="H21" s="33">
        <f t="shared" si="1"/>
        <v>108</v>
      </c>
      <c r="I21" s="33">
        <f t="shared" si="2"/>
        <v>12</v>
      </c>
      <c r="J21" s="13"/>
      <c r="K21" s="13"/>
      <c r="L21" s="13"/>
      <c r="M21" s="13"/>
      <c r="N21" s="13"/>
      <c r="O21" s="13"/>
      <c r="P21" s="13"/>
      <c r="Q21" s="13"/>
    </row>
    <row r="22" ht="58.5" customHeight="1">
      <c r="A22" s="16" t="s">
        <v>97</v>
      </c>
      <c r="B22" s="46" t="s">
        <v>98</v>
      </c>
      <c r="C22" s="47" t="s">
        <v>99</v>
      </c>
      <c r="D22" s="20">
        <v>2.0</v>
      </c>
      <c r="E22" s="20">
        <v>5.0</v>
      </c>
      <c r="F22" s="20">
        <v>3.0</v>
      </c>
      <c r="G22" s="20">
        <v>3.0</v>
      </c>
      <c r="H22" s="24">
        <f t="shared" si="1"/>
        <v>90</v>
      </c>
      <c r="I22" s="24">
        <f t="shared" si="2"/>
        <v>10</v>
      </c>
      <c r="J22" s="13"/>
      <c r="K22" s="13"/>
      <c r="L22" s="13"/>
      <c r="M22" s="13"/>
      <c r="N22" s="13"/>
      <c r="O22" s="13"/>
      <c r="P22" s="13"/>
      <c r="Q22" s="13"/>
    </row>
    <row r="23" ht="58.5" customHeight="1">
      <c r="A23" s="16" t="s">
        <v>100</v>
      </c>
      <c r="B23" s="46" t="s">
        <v>101</v>
      </c>
      <c r="C23" s="48" t="s">
        <v>102</v>
      </c>
      <c r="D23" s="20">
        <v>3.0</v>
      </c>
      <c r="E23" s="20">
        <v>4.0</v>
      </c>
      <c r="F23" s="20">
        <v>3.0</v>
      </c>
      <c r="G23" s="20">
        <v>3.0</v>
      </c>
      <c r="H23" s="33">
        <f t="shared" si="1"/>
        <v>108</v>
      </c>
      <c r="I23" s="33">
        <f t="shared" si="2"/>
        <v>12</v>
      </c>
      <c r="J23" s="13"/>
      <c r="K23" s="13"/>
      <c r="L23" s="13"/>
      <c r="M23" s="13"/>
      <c r="N23" s="13"/>
      <c r="O23" s="13"/>
      <c r="P23" s="13"/>
      <c r="Q23" s="13"/>
    </row>
    <row r="24" ht="58.5" customHeight="1">
      <c r="A24" s="16" t="s">
        <v>103</v>
      </c>
      <c r="B24" s="46" t="s">
        <v>104</v>
      </c>
      <c r="C24" s="48" t="s">
        <v>105</v>
      </c>
      <c r="D24" s="20">
        <v>2.0</v>
      </c>
      <c r="E24" s="20">
        <v>5.0</v>
      </c>
      <c r="F24" s="20">
        <v>3.0</v>
      </c>
      <c r="G24" s="20">
        <v>4.0</v>
      </c>
      <c r="H24" s="33">
        <f t="shared" si="1"/>
        <v>120</v>
      </c>
      <c r="I24" s="24">
        <f t="shared" si="2"/>
        <v>10</v>
      </c>
      <c r="J24" s="13"/>
      <c r="K24" s="13"/>
      <c r="L24" s="13"/>
      <c r="M24" s="13"/>
      <c r="N24" s="13"/>
      <c r="O24" s="13"/>
      <c r="P24" s="13"/>
      <c r="Q24" s="13"/>
    </row>
    <row r="25" ht="58.5" customHeight="1">
      <c r="A25" s="16" t="s">
        <v>106</v>
      </c>
      <c r="B25" s="46" t="s">
        <v>107</v>
      </c>
      <c r="C25" s="48" t="s">
        <v>108</v>
      </c>
      <c r="D25" s="20">
        <v>4.0</v>
      </c>
      <c r="E25" s="20">
        <v>2.0</v>
      </c>
      <c r="F25" s="20">
        <v>3.0</v>
      </c>
      <c r="G25" s="20">
        <v>4.0</v>
      </c>
      <c r="H25" s="24">
        <f t="shared" si="1"/>
        <v>96</v>
      </c>
      <c r="I25" s="24">
        <f t="shared" si="2"/>
        <v>8</v>
      </c>
      <c r="J25" s="13"/>
      <c r="K25" s="13"/>
      <c r="L25" s="13"/>
      <c r="M25" s="13"/>
      <c r="N25" s="13"/>
      <c r="O25" s="13"/>
      <c r="P25" s="13"/>
      <c r="Q25" s="13"/>
    </row>
    <row r="26" ht="58.5" customHeight="1">
      <c r="A26" s="16" t="s">
        <v>109</v>
      </c>
      <c r="B26" s="46" t="s">
        <v>110</v>
      </c>
      <c r="C26" s="48" t="s">
        <v>111</v>
      </c>
      <c r="D26" s="20">
        <v>5.0</v>
      </c>
      <c r="E26" s="20">
        <v>2.0</v>
      </c>
      <c r="F26" s="20">
        <v>2.0</v>
      </c>
      <c r="G26" s="20">
        <v>1.0</v>
      </c>
      <c r="H26" s="24">
        <f t="shared" si="1"/>
        <v>20</v>
      </c>
      <c r="I26" s="24">
        <f t="shared" si="2"/>
        <v>10</v>
      </c>
      <c r="J26" s="13"/>
      <c r="K26" s="13"/>
      <c r="L26" s="13"/>
      <c r="M26" s="13"/>
      <c r="N26" s="13"/>
      <c r="O26" s="13"/>
      <c r="P26" s="13"/>
      <c r="Q26" s="13"/>
    </row>
    <row r="27" ht="14.25" customHeight="1">
      <c r="A27" s="13"/>
      <c r="B27" s="13"/>
      <c r="C27" s="13"/>
      <c r="D27" s="13"/>
      <c r="E27" s="13"/>
      <c r="F27" s="13"/>
      <c r="G27" s="13"/>
      <c r="H27" s="13"/>
      <c r="I27" s="13"/>
      <c r="J27" s="13"/>
      <c r="K27" s="13"/>
      <c r="L27" s="13"/>
      <c r="M27" s="13"/>
      <c r="N27" s="13"/>
      <c r="O27" s="13"/>
      <c r="P27" s="13"/>
      <c r="Q27" s="13"/>
    </row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8">
    <mergeCell ref="K3:P3"/>
    <mergeCell ref="K4:K8"/>
    <mergeCell ref="L9:P9"/>
    <mergeCell ref="M11:O11"/>
    <mergeCell ref="M12:O12"/>
    <mergeCell ref="M13:O13"/>
    <mergeCell ref="M14:O14"/>
    <mergeCell ref="M15:O15"/>
  </mergeCells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2" max="2" width="17.38"/>
    <col customWidth="1" min="3" max="3" width="20.5"/>
    <col customWidth="1" min="4" max="4" width="6.0"/>
    <col customWidth="1" min="5" max="5" width="9.75"/>
    <col customWidth="1" min="6" max="6" width="8.0"/>
    <col customWidth="1" min="7" max="7" width="10.75"/>
    <col customWidth="1" min="8" max="8" width="16.0"/>
  </cols>
  <sheetData>
    <row r="1">
      <c r="A1" s="2" t="s">
        <v>1</v>
      </c>
      <c r="B1" s="4" t="s">
        <v>4</v>
      </c>
      <c r="C1" s="4" t="s">
        <v>5</v>
      </c>
      <c r="D1" s="6" t="s">
        <v>2</v>
      </c>
      <c r="E1" s="6" t="s">
        <v>8</v>
      </c>
      <c r="F1" s="7" t="s">
        <v>9</v>
      </c>
      <c r="G1" s="8"/>
      <c r="H1" s="6" t="s">
        <v>12</v>
      </c>
      <c r="I1" s="6" t="s">
        <v>13</v>
      </c>
      <c r="J1" s="6" t="s">
        <v>15</v>
      </c>
      <c r="K1" s="6" t="s">
        <v>16</v>
      </c>
    </row>
    <row r="2">
      <c r="A2" s="12"/>
      <c r="B2" s="12"/>
      <c r="C2" s="12"/>
      <c r="D2" s="12"/>
      <c r="E2" s="12"/>
      <c r="F2" s="14" t="s">
        <v>18</v>
      </c>
      <c r="G2" s="14" t="s">
        <v>19</v>
      </c>
      <c r="H2" s="12"/>
      <c r="I2" s="12"/>
      <c r="J2" s="12"/>
      <c r="K2" s="12"/>
    </row>
    <row r="19">
      <c r="C19" s="15" t="s">
        <v>20</v>
      </c>
    </row>
  </sheetData>
  <mergeCells count="10">
    <mergeCell ref="I1:I2"/>
    <mergeCell ref="J1:J2"/>
    <mergeCell ref="K1:K2"/>
    <mergeCell ref="A1:A2"/>
    <mergeCell ref="B1:B2"/>
    <mergeCell ref="C1:C2"/>
    <mergeCell ref="D1:D2"/>
    <mergeCell ref="E1:E2"/>
    <mergeCell ref="F1:G1"/>
    <mergeCell ref="H1:H2"/>
  </mergeCells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2026-08-26T06:18:55Z</dcterms:created>
  <dc:creator>MARTIN PHILIP GUTIERREZ KURUZ</dc:creator>
</cp:coreProperties>
</file>